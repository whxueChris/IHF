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7cf398862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 Means" sheetId="1" r:id="Reb80eda94a024590"/>
    <x:sheet xmlns:r="http://schemas.openxmlformats.org/officeDocument/2006/relationships" name="Statistics" sheetId="2" r:id="R12abe2f4169a464b"/>
    <x:sheet xmlns:r="http://schemas.openxmlformats.org/officeDocument/2006/relationships" name="Notes" sheetId="3" r:id="Re5af39bdd4f1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0202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9AA"/>
      </x:patternFill>
    </x:fill>
  </x:fills>
  <x:borders count="4">
    <x:border/>
    <x:border>
      <x:bottom style="thin">
        <x:color rgb="FFE2E2E2"/>
      </x:bottom>
    </x:border>
    <x:border>
      <x:top style="thin">
        <x:color rgb="FFE2E2E2"/>
      </x:top>
      <x:bottom style="thin">
        <x:color rgb="FFE2E2E2"/>
      </x:bottom>
    </x:border>
    <x:border>
      <x:top style="thin">
        <x:color rgb="FFE2E2E2"/>
      </x:top>
      <x:bottom style="thin">
        <x:color rgb="FF8A8A8A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2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05c3c14624228" /><Relationship Type="http://schemas.openxmlformats.org/officeDocument/2006/relationships/theme" Target="/xl/theme/theme1.xml" Id="R41c0fc1a08344187" /><Relationship Type="http://schemas.openxmlformats.org/officeDocument/2006/relationships/sharedStrings" Target="/xl/sharedStrings.xml" Id="Rc44b530de15e49f0" /><Relationship Type="http://schemas.openxmlformats.org/officeDocument/2006/relationships/worksheet" Target="/xl/worksheets/sheet1.xml" Id="Reb80eda94a024590" /><Relationship Type="http://schemas.openxmlformats.org/officeDocument/2006/relationships/worksheet" Target="/xl/worksheets/sheet2.xml" Id="R12abe2f4169a464b" /><Relationship Type="http://schemas.openxmlformats.org/officeDocument/2006/relationships/worksheet" Target="/xl/worksheets/sheet3.xml" Id="Re5af39bdd4f14a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1.8799991607666" hidden="0" customWidth="1"/>
    <x:col min="3" max="3" width="21.8799991607666" hidden="0" customWidth="1"/>
    <x:col min="4" max="4" width="15.630000114440918" hidden="0" customWidth="1"/>
    <x:col min="5" max="5" width="13.130000114440918" hidden="0" customWidth="1"/>
    <x:col min="6" max="6" width="13.130000114440918" hidden="0" customWidth="1"/>
  </x:cols>
  <x:sheetData>
    <x:row r="1" ht="31.5" customHeight="1">
      <x:c r="A1" s="8" t="str">
        <x:v>participant_id</x:v>
      </x:c>
      <x:c r="B1" s="8" t="str">
        <x:v>matched_mean_error_pct</x:v>
      </x:c>
      <x:c r="C1" s="8" t="str">
        <x:v>mismatch_mean_error_pct</x:v>
      </x:c>
      <x:c r="D1" s="8" t="str">
        <x:v>difference_pp</x:v>
      </x:c>
      <x:c r="E1" s="8" t="str">
        <x:v>matched_n</x:v>
      </x:c>
      <x:c r="F1" s="8" t="str">
        <x:v>mismatch_n</x:v>
      </x:c>
    </x:row>
    <x:row r="2" ht="18" customHeight="1">
      <x:c r="A2" s="9" t="str">
        <x:v>P002</x:v>
      </x:c>
      <x:c r="B2" s="10" t="n">
        <x:v>5.06217</x:v>
      </x:c>
      <x:c r="C2" s="10" t="n">
        <x:v>12.017578</x:v>
      </x:c>
      <x:c r="D2" s="10" t="n">
        <x:f>C2-B2</x:f>
        <x:v>6.955408</x:v>
      </x:c>
      <x:c r="E2" s="11" t="n">
        <x:v>9</x:v>
      </x:c>
      <x:c r="F2" s="11" t="n">
        <x:v>9</x:v>
      </x:c>
    </x:row>
    <x:row r="3" ht="18" customHeight="1">
      <x:c r="A3" s="9" t="str">
        <x:v>P003</x:v>
      </x:c>
      <x:c r="B3" s="10" t="n">
        <x:v>5.676565</x:v>
      </x:c>
      <x:c r="C3" s="10" t="n">
        <x:v>13.051208</x:v>
      </x:c>
      <x:c r="D3" s="10" t="n">
        <x:f>C3-B3</x:f>
        <x:v>7.374643000000001</x:v>
      </x:c>
      <x:c r="E3" s="11" t="n">
        <x:v>9</x:v>
      </x:c>
      <x:c r="F3" s="11" t="n">
        <x:v>9</x:v>
      </x:c>
    </x:row>
    <x:row r="4" ht="18" customHeight="1">
      <x:c r="A4" s="9" t="str">
        <x:v>P005</x:v>
      </x:c>
      <x:c r="B4" s="10" t="n">
        <x:v>8.806327</x:v>
      </x:c>
      <x:c r="C4" s="10" t="n">
        <x:v>13.080677</x:v>
      </x:c>
      <x:c r="D4" s="10" t="n">
        <x:f>C4-B4</x:f>
        <x:v>4.27435</x:v>
      </x:c>
      <x:c r="E4" s="11" t="n">
        <x:v>9</x:v>
      </x:c>
      <x:c r="F4" s="11" t="n">
        <x:v>9</x:v>
      </x:c>
    </x:row>
    <x:row r="5" ht="18" customHeight="1">
      <x:c r="A5" s="9" t="str">
        <x:v>P006</x:v>
      </x:c>
      <x:c r="B5" s="10" t="n">
        <x:v>6.053966</x:v>
      </x:c>
      <x:c r="C5" s="10" t="n">
        <x:v>12.337625</x:v>
      </x:c>
      <x:c r="D5" s="10" t="n">
        <x:f>C5-B5</x:f>
        <x:v>6.283658999999999</x:v>
      </x:c>
      <x:c r="E5" s="11" t="n">
        <x:v>9</x:v>
      </x:c>
      <x:c r="F5" s="11" t="n">
        <x:v>9</x:v>
      </x:c>
    </x:row>
    <x:row r="6" ht="18" customHeight="1">
      <x:c r="A6" s="9" t="str">
        <x:v>P007</x:v>
      </x:c>
      <x:c r="B6" s="10" t="n">
        <x:v>3.304301</x:v>
      </x:c>
      <x:c r="C6" s="10" t="n">
        <x:v>10.602765</x:v>
      </x:c>
      <x:c r="D6" s="10" t="n">
        <x:f>C6-B6</x:f>
        <x:v>7.298463999999999</x:v>
      </x:c>
      <x:c r="E6" s="11" t="n">
        <x:v>9</x:v>
      </x:c>
      <x:c r="F6" s="11" t="n">
        <x:v>9</x:v>
      </x:c>
    </x:row>
    <x:row r="7" ht="18" customHeight="1">
      <x:c r="A7" s="9" t="str">
        <x:v>P012</x:v>
      </x:c>
      <x:c r="B7" s="10" t="n">
        <x:v>6.129469</x:v>
      </x:c>
      <x:c r="C7" s="10" t="n">
        <x:v>13.405164</x:v>
      </x:c>
      <x:c r="D7" s="10" t="n">
        <x:f>C7-B7</x:f>
        <x:v>7.275694999999999</x:v>
      </x:c>
      <x:c r="E7" s="11" t="n">
        <x:v>9</x:v>
      </x:c>
      <x:c r="F7" s="11" t="n">
        <x:v>9</x:v>
      </x:c>
    </x:row>
    <x:row r="8" ht="18" customHeight="1">
      <x:c r="A8" s="12" t="str">
        <x:v>P014</x:v>
      </x:c>
      <x:c r="B8" s="13" t="n">
        <x:v>6.242639</x:v>
      </x:c>
      <x:c r="C8" s="13" t="n">
        <x:v>10.690842</x:v>
      </x:c>
      <x:c r="D8" s="13" t="n">
        <x:f>C8-B8</x:f>
        <x:v>4.448203</x:v>
      </x:c>
      <x:c r="E8" s="14" t="n">
        <x:v>9</x:v>
      </x:c>
      <x:c r="F8" s="14" t="n"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380001068115234" hidden="0" customWidth="1"/>
    <x:col min="2" max="2" width="12.5" hidden="0" customWidth="1"/>
    <x:col min="3" max="3" width="52.5" hidden="0" customWidth="1"/>
  </x:cols>
  <x:sheetData>
    <x:row r="1" ht="18" customHeight="1">
      <x:c r="A1" s="16" t="str">
        <x:v>statistic</x:v>
      </x:c>
      <x:c r="B1" s="16" t="str">
        <x:v>value</x:v>
      </x:c>
      <x:c r="C1" s="16" t="str">
        <x:v>definition_or_method</x:v>
      </x:c>
    </x:row>
    <x:row r="2" ht="18" customHeight="1">
      <x:c r="A2" s="9" t="str">
        <x:v>n_participants</x:v>
      </x:c>
      <x:c r="B2" s="17" t="n">
        <x:f>COUNTA('Participant Means'!A2:A8)</x:f>
        <x:v>7</x:v>
      </x:c>
      <x:c r="C2" s="17" t="str">
        <x:v>Same seven participants in both conditions</x:v>
      </x:c>
    </x:row>
    <x:row r="3" ht="18" customHeight="1">
      <x:c r="A3" s="9" t="str">
        <x:v>matched_group_mean_percent</x:v>
      </x:c>
      <x:c r="B3" s="10" t="n">
        <x:f>AVERAGE('Participant Means'!B2:B8)</x:f>
        <x:v>5.896490999999999</x:v>
      </x:c>
      <x:c r="C3" s="17" t="str">
        <x:v>Mean of participant-level nine-target means</x:v>
      </x:c>
    </x:row>
    <x:row r="4" ht="18" customHeight="1">
      <x:c r="A4" s="9" t="str">
        <x:v>mismatch_group_mean_percent</x:v>
      </x:c>
      <x:c r="B4" s="10" t="n">
        <x:f>AVERAGE('Participant Means'!C2:C8)</x:f>
        <x:v>12.169408428571428</x:v>
      </x:c>
      <x:c r="C4" s="17" t="str">
        <x:v>Mean of participant-level nine-target means</x:v>
      </x:c>
    </x:row>
    <x:row r="5" ht="18" customHeight="1">
      <x:c r="A5" s="9" t="str">
        <x:v>mean_paired_increase_pp</x:v>
      </x:c>
      <x:c r="B5" s="10" t="n">
        <x:f>AVERAGE('Participant Means'!D2:D8)</x:f>
        <x:v>6.2729174285714295</x:v>
      </x:c>
      <x:c r="C5" s="17" t="str">
        <x:v>Mismatch minus matched</x:v>
      </x:c>
    </x:row>
    <x:row r="6" ht="18" customHeight="1">
      <x:c r="A6" s="9" t="str">
        <x:v>median_paired_increase_pp</x:v>
      </x:c>
      <x:c r="B6" s="10" t="n">
        <x:f>MEDIAN('Participant Means'!D2:D8)</x:f>
        <x:v>6.955408</x:v>
      </x:c>
      <x:c r="C6" s="17" t="str">
        <x:v>Median of participant-level paired differences</x:v>
      </x:c>
    </x:row>
    <x:row r="7" ht="18" customHeight="1">
      <x:c r="A7" s="9" t="str">
        <x:v>participants_with_higher_mismatch_error</x:v>
      </x:c>
      <x:c r="B7" s="17" t="n">
        <x:f>COUNTIF('Participant Means'!D2:D8,"&gt;0")</x:f>
        <x:v>7</x:v>
      </x:c>
      <x:c r="C7" s="17" t="str">
        <x:v>Count of positive paired differences</x:v>
      </x:c>
    </x:row>
    <x:row r="8" ht="18" customHeight="1">
      <x:c r="A8" s="9" t="str">
        <x:v>p_value</x:v>
      </x:c>
      <x:c r="B8" s="18" t="n">
        <x:v>0.015625</x:v>
      </x:c>
      <x:c r="C8" s="17" t="str">
        <x:v>Two-sided exact Wilcoxon signed-rank test; unadjusted</x:v>
      </x:c>
    </x:row>
    <x:row r="9" ht="18" customHeight="1">
      <x:c r="A9" s="9" t="str">
        <x:v>wilcoxon_W_min</x:v>
      </x:c>
      <x:c r="B9" s="17" t="n">
        <x:v>0</x:v>
      </x:c>
      <x:c r="C9" s="17" t="str">
        <x:v>Smaller signed-rank sum</x:v>
      </x:c>
    </x:row>
    <x:row r="10" ht="18" customHeight="1">
      <x:c r="A10" s="12" t="str">
        <x:v>targets_per_participant_per_condition</x:v>
      </x:c>
      <x:c r="B10" s="19" t="n">
        <x:v>9</x:v>
      </x:c>
      <x:c r="C10" s="19" t="str">
        <x:v>Three emojis multiplied by L/R/M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0" hidden="0" customWidth="1"/>
  </x:cols>
  <x:sheetData>
    <x:row r="1" ht="19.5" customHeight="1">
      <x:c r="A1" s="25" t="str">
        <x:v>item</x:v>
      </x:c>
      <x:c r="B1" s="25" t="str">
        <x:v>description</x:v>
      </x:c>
    </x:row>
    <x:row r="2" ht="39" customHeight="1">
      <x:c r="A2" s="26" t="str">
        <x:v>Metric</x:v>
      </x:c>
      <x:c r="B2" s="27" t="str">
        <x:v>For each participant and condition, Euclidean distance to the manually annotated true target was computed for all nine targets and divided by the 665 x 440 px interaction-window diagonal, then multiplied by 100 and averaged.</x:v>
      </x:c>
    </x:row>
    <x:row r="3" ht="39" customHeight="1">
      <x:c r="A3" s="26" t="str">
        <x:v>Matched condition</x:v>
      </x:c>
      <x:c r="B3" s="27" t="str">
        <x:v>Previous matched-IHF experiment, reprocessed using the same manual ground truth as the mismatch condition.</x:v>
      </x:c>
    </x:row>
    <x:row r="4" ht="39" customHeight="1">
      <x:c r="A4" s="26" t="str">
        <x:v>Mismatch condition</x:v>
      </x:c>
      <x:c r="B4" s="27" t="str">
        <x:v>Current 180-degree rotated mismatch-IHF experiment.</x:v>
      </x:c>
    </x:row>
    <x:row r="5" ht="39" customHeight="1">
      <x:c r="A5" s="26" t="str">
        <x:v>Ground truth</x:v>
      </x:c>
      <x:c r="B5" s="27" t="str">
        <x:v>Manual visual annotations of L, R and M for puzzled, screaming and impatient emoji stimuli.</x:v>
      </x:c>
    </x:row>
    <x:row r="6" ht="39" customHeight="1">
      <x:c r="A6" s="26" t="str">
        <x:v>Pairing</x:v>
      </x:c>
      <x:c r="B6" s="27" t="str">
        <x:v>Participant IDs P002, P003, P005, P006, P007, P012 and P014.</x:v>
      </x:c>
    </x:row>
    <x:row r="7" ht="39" customHeight="1">
      <x:c r="A7" s="26" t="str">
        <x:v>Duplicate handling</x:v>
      </x:c>
      <x:c r="B7" s="27" t="str">
        <x:v>Nine exact P007 mismatch records from the second duplicate export were removed before aggregation.</x:v>
      </x:c>
    </x:row>
    <x:row r="8" ht="39" customHeight="1">
      <x:c r="A8" s="26" t="str">
        <x:v>Statistical test</x:v>
      </x:c>
      <x:c r="B8" s="27" t="str">
        <x:v>Two-sided exact Wilcoxon signed-rank test on the seven participant-level paired means; no multiple-comparison adjustment.</x:v>
      </x:c>
    </x:row>
    <x:row r="9" ht="39" customHeight="1">
      <x:c r="A9" s="28" t="str">
        <x:v>Figure encoding</x:v>
      </x:c>
      <x:c r="B9" s="29" t="str">
        <x:v>Dots represent participants; grey lines connect the same participant; short horizontal bars show group means.</x:v>
      </x:c>
    </x:row>
  </x:sheetData>
  <x:pageMargins left="0.7" right="0.7" top="0.75" bottom="0.75" header="0.3" footer="0.3"/>
</x:worksheet>
</file>